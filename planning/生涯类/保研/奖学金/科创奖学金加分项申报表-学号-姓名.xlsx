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70" windowHeight="4410"/>
  </bookViews>
  <sheets>
    <sheet name="科创奖学金申报表" sheetId="1" r:id="rId1"/>
    <sheet name="Sheet1" sheetId="2" state="hidden" r:id="rId2"/>
  </sheets>
  <definedNames>
    <definedName name="_xlnm._FilterDatabase" localSheetId="0" hidden="1">科创奖学金申报表!$A$1:$M$5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fan</author>
    <author>Fan</author>
  </authors>
  <commentList>
    <comment ref="A1" authorId="0">
      <text>
        <r>
          <rPr>
            <sz val="9"/>
            <rFont val="宋体"/>
            <charset val="134"/>
          </rPr>
          <t xml:space="preserve">竞赛、论文、专利、大创
</t>
        </r>
      </text>
    </comment>
    <comment ref="P1" authorId="1">
      <text>
        <r>
          <rPr>
            <b/>
            <sz val="9"/>
            <rFont val="宋体"/>
            <charset val="134"/>
          </rPr>
          <t>Fan:</t>
        </r>
        <r>
          <rPr>
            <sz val="9"/>
            <rFont val="宋体"/>
            <charset val="134"/>
          </rPr>
          <t xml:space="preserve">
仅限24级</t>
        </r>
      </text>
    </comment>
  </commentList>
</comments>
</file>

<file path=xl/sharedStrings.xml><?xml version="1.0" encoding="utf-8"?>
<sst xmlns="http://schemas.openxmlformats.org/spreadsheetml/2006/main" count="81" uniqueCount="44">
  <si>
    <t>科创类别</t>
  </si>
  <si>
    <t>名称（及专利号）</t>
  </si>
  <si>
    <t>姓名</t>
  </si>
  <si>
    <t>性别</t>
  </si>
  <si>
    <t>学号</t>
  </si>
  <si>
    <t>院系</t>
  </si>
  <si>
    <t>专业</t>
  </si>
  <si>
    <t>指导教师</t>
  </si>
  <si>
    <t>获奖时间</t>
  </si>
  <si>
    <t>获奖类别</t>
  </si>
  <si>
    <t>获奖等级</t>
  </si>
  <si>
    <t>是否申请
科创奖学金</t>
  </si>
  <si>
    <t>是否
有证书</t>
  </si>
  <si>
    <t>科创积分</t>
  </si>
  <si>
    <t>倍乘系数</t>
  </si>
  <si>
    <t>额外加分</t>
  </si>
  <si>
    <t>科创得分</t>
  </si>
  <si>
    <t>是否认定</t>
  </si>
  <si>
    <t>预申报</t>
  </si>
  <si>
    <t>备注</t>
  </si>
  <si>
    <t>竞赛</t>
  </si>
  <si>
    <t>第十六届蓝桥杯全国软件和信息技术专业人才大赛</t>
  </si>
  <si>
    <t>饶雄超</t>
  </si>
  <si>
    <t>男</t>
  </si>
  <si>
    <t>软件学院</t>
  </si>
  <si>
    <t>软件工程</t>
  </si>
  <si>
    <t>严茹</t>
  </si>
  <si>
    <t>省级</t>
  </si>
  <si>
    <t>三等奖</t>
  </si>
  <si>
    <t>是</t>
  </si>
  <si>
    <t>辽宁省大学生程序设计竞赛</t>
  </si>
  <si>
    <t>陆坤</t>
  </si>
  <si>
    <t>未获奖</t>
  </si>
  <si>
    <t>无</t>
  </si>
  <si>
    <t>学校选拔参赛</t>
  </si>
  <si>
    <t>第十四届科技文化节程序设计赛道</t>
  </si>
  <si>
    <t>院级</t>
  </si>
  <si>
    <t>第十四届科技文化节网络安全赛道</t>
  </si>
  <si>
    <t>大连理工大学第22届大学生程序设计竞赛</t>
  </si>
  <si>
    <t>校级</t>
  </si>
  <si>
    <t>二等奖</t>
  </si>
  <si>
    <t>论文</t>
  </si>
  <si>
    <t>专利</t>
  </si>
  <si>
    <t>创新创业训练计划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</si>
</sst>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3">
    <font>
      <sz val="12"/>
      <name val="宋体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222222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  "/>
      <charset val="134"/>
    </font>
    <font>
      <sz val="9"/>
      <name val="宋体  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 applyFont="0" applyAlignment="0">
      <alignment vertical="center"/>
    </xf>
    <xf numFmtId="0" fontId="29" fillId="0" borderId="0" applyFont="0" applyAlignment="0">
      <alignment vertical="center"/>
    </xf>
    <xf numFmtId="0" fontId="30" fillId="0" borderId="0"/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5" fillId="0" borderId="5" xfId="0" applyFont="1" applyBorder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3" xfId="51"/>
    <cellStyle name="常规 9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zoomScale="82" zoomScaleNormal="82" workbookViewId="0">
      <pane ySplit="1" topLeftCell="A2" activePane="bottomLeft" state="frozen"/>
      <selection/>
      <selection pane="bottomLeft" activeCell="E9" sqref="E9"/>
    </sheetView>
  </sheetViews>
  <sheetFormatPr defaultColWidth="9" defaultRowHeight="16.5" outlineLevelRow="5"/>
  <cols>
    <col min="1" max="1" width="9.5" style="6" customWidth="1"/>
    <col min="2" max="2" width="34.7416666666667" style="7" customWidth="1"/>
    <col min="3" max="3" width="10.375" style="8" customWidth="1"/>
    <col min="4" max="4" width="7.25" style="9" customWidth="1"/>
    <col min="5" max="5" width="14.9333333333333" style="9" customWidth="1"/>
    <col min="6" max="7" width="9.875" style="10" customWidth="1"/>
    <col min="8" max="8" width="9.25" style="10" customWidth="1"/>
    <col min="9" max="9" width="14.5" style="9" customWidth="1"/>
    <col min="10" max="10" width="9" style="9"/>
    <col min="11" max="11" width="10.5" style="10" customWidth="1"/>
    <col min="12" max="12" width="10.625" style="10" customWidth="1"/>
    <col min="13" max="13" width="8.75" style="6" customWidth="1"/>
    <col min="14" max="14" width="9" style="9"/>
    <col min="15" max="15" width="8.875" style="9" customWidth="1"/>
    <col min="16" max="17" width="9" style="9"/>
    <col min="18" max="18" width="9" style="9" hidden="1" customWidth="1"/>
    <col min="19" max="19" width="9" style="9"/>
    <col min="20" max="20" width="19.125" style="9" customWidth="1"/>
    <col min="21" max="16384" width="9" style="9"/>
  </cols>
  <sheetData>
    <row r="1" ht="33" spans="1:20">
      <c r="A1" s="11" t="s">
        <v>0</v>
      </c>
      <c r="B1" s="11" t="s">
        <v>1</v>
      </c>
      <c r="C1" s="12" t="s">
        <v>2</v>
      </c>
      <c r="D1" s="13" t="s">
        <v>3</v>
      </c>
      <c r="E1" s="13" t="s">
        <v>4</v>
      </c>
      <c r="F1" s="11" t="s">
        <v>5</v>
      </c>
      <c r="G1" s="11" t="s">
        <v>6</v>
      </c>
      <c r="H1" s="11" t="s">
        <v>7</v>
      </c>
      <c r="I1" s="13" t="s">
        <v>8</v>
      </c>
      <c r="J1" s="13" t="s">
        <v>9</v>
      </c>
      <c r="K1" s="11" t="s">
        <v>10</v>
      </c>
      <c r="L1" s="11" t="s">
        <v>11</v>
      </c>
      <c r="M1" s="11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5" t="s">
        <v>19</v>
      </c>
    </row>
    <row r="2" ht="15" customHeight="1" spans="1:20">
      <c r="A2" s="14" t="s">
        <v>20</v>
      </c>
      <c r="B2" s="15" t="s">
        <v>21</v>
      </c>
      <c r="C2" s="16" t="s">
        <v>22</v>
      </c>
      <c r="D2" s="17" t="s">
        <v>23</v>
      </c>
      <c r="E2" s="18">
        <v>20242081007</v>
      </c>
      <c r="F2" s="19" t="s">
        <v>24</v>
      </c>
      <c r="G2" s="19" t="s">
        <v>25</v>
      </c>
      <c r="H2" s="19" t="s">
        <v>26</v>
      </c>
      <c r="I2" s="23">
        <v>45777</v>
      </c>
      <c r="J2" s="17" t="s">
        <v>27</v>
      </c>
      <c r="K2" s="17" t="s">
        <v>28</v>
      </c>
      <c r="L2" s="17" t="s">
        <v>29</v>
      </c>
      <c r="M2" s="17" t="s">
        <v>29</v>
      </c>
      <c r="N2" s="24">
        <v>9</v>
      </c>
      <c r="O2" s="24">
        <v>1</v>
      </c>
      <c r="P2" s="24">
        <v>0</v>
      </c>
      <c r="Q2" s="24">
        <f>N2*O2+P2</f>
        <v>9</v>
      </c>
      <c r="R2" s="24"/>
      <c r="S2" s="24"/>
      <c r="T2" s="25"/>
    </row>
    <row r="3" spans="1:20">
      <c r="A3" s="14" t="s">
        <v>20</v>
      </c>
      <c r="B3" s="20" t="s">
        <v>30</v>
      </c>
      <c r="C3" s="16" t="s">
        <v>22</v>
      </c>
      <c r="D3" s="17" t="s">
        <v>23</v>
      </c>
      <c r="E3" s="18">
        <v>20242081007</v>
      </c>
      <c r="F3" s="19" t="s">
        <v>24</v>
      </c>
      <c r="G3" s="19" t="s">
        <v>25</v>
      </c>
      <c r="H3" s="19" t="s">
        <v>31</v>
      </c>
      <c r="I3" s="23">
        <v>45963</v>
      </c>
      <c r="J3" s="17" t="s">
        <v>32</v>
      </c>
      <c r="K3" s="17" t="s">
        <v>33</v>
      </c>
      <c r="L3" s="17" t="s">
        <v>29</v>
      </c>
      <c r="M3" s="17" t="s">
        <v>33</v>
      </c>
      <c r="N3" s="24">
        <v>3</v>
      </c>
      <c r="O3" s="24">
        <v>1</v>
      </c>
      <c r="P3" s="24">
        <v>0</v>
      </c>
      <c r="Q3" s="24">
        <f>N3*O3+P3</f>
        <v>3</v>
      </c>
      <c r="R3" s="24"/>
      <c r="S3" s="24"/>
      <c r="T3" s="25" t="s">
        <v>34</v>
      </c>
    </row>
    <row r="4" spans="1:20">
      <c r="A4" s="14" t="s">
        <v>20</v>
      </c>
      <c r="B4" s="15" t="s">
        <v>35</v>
      </c>
      <c r="C4" s="16" t="s">
        <v>22</v>
      </c>
      <c r="D4" s="17" t="s">
        <v>23</v>
      </c>
      <c r="E4" s="18">
        <v>20242081007</v>
      </c>
      <c r="F4" s="19" t="s">
        <v>24</v>
      </c>
      <c r="G4" s="19" t="s">
        <v>25</v>
      </c>
      <c r="H4" s="19" t="s">
        <v>31</v>
      </c>
      <c r="I4" s="23">
        <v>45777</v>
      </c>
      <c r="J4" s="17" t="s">
        <v>36</v>
      </c>
      <c r="K4" s="17" t="s">
        <v>28</v>
      </c>
      <c r="L4" s="17" t="s">
        <v>29</v>
      </c>
      <c r="M4" s="17" t="s">
        <v>33</v>
      </c>
      <c r="N4" s="24">
        <v>1</v>
      </c>
      <c r="O4" s="24">
        <v>1</v>
      </c>
      <c r="P4" s="24">
        <v>0</v>
      </c>
      <c r="Q4" s="24">
        <f t="shared" ref="Q4:Q6" si="0">N4*O4+P4</f>
        <v>1</v>
      </c>
      <c r="R4" s="24"/>
      <c r="S4" s="24"/>
      <c r="T4" s="25"/>
    </row>
    <row r="5" spans="1:20">
      <c r="A5" s="14" t="s">
        <v>20</v>
      </c>
      <c r="B5" s="15" t="s">
        <v>37</v>
      </c>
      <c r="C5" s="16" t="s">
        <v>22</v>
      </c>
      <c r="D5" s="17" t="s">
        <v>23</v>
      </c>
      <c r="E5" s="18">
        <v>20242081007</v>
      </c>
      <c r="F5" s="19" t="s">
        <v>24</v>
      </c>
      <c r="G5" s="19" t="s">
        <v>25</v>
      </c>
      <c r="H5" s="19" t="s">
        <v>31</v>
      </c>
      <c r="I5" s="23">
        <v>45777</v>
      </c>
      <c r="J5" s="17" t="s">
        <v>36</v>
      </c>
      <c r="K5" s="17" t="s">
        <v>28</v>
      </c>
      <c r="L5" s="17" t="s">
        <v>29</v>
      </c>
      <c r="M5" s="17" t="s">
        <v>33</v>
      </c>
      <c r="N5" s="24">
        <v>1</v>
      </c>
      <c r="O5" s="24">
        <v>1</v>
      </c>
      <c r="P5" s="24">
        <v>0</v>
      </c>
      <c r="Q5" s="24">
        <f t="shared" si="0"/>
        <v>1</v>
      </c>
      <c r="R5" s="24"/>
      <c r="S5" s="24"/>
      <c r="T5" s="25"/>
    </row>
    <row r="6" ht="20.5" spans="1:20">
      <c r="A6" s="14" t="s">
        <v>20</v>
      </c>
      <c r="B6" s="21" t="s">
        <v>38</v>
      </c>
      <c r="C6" s="16" t="s">
        <v>22</v>
      </c>
      <c r="D6" s="17" t="s">
        <v>23</v>
      </c>
      <c r="E6" s="18">
        <v>20242081007</v>
      </c>
      <c r="F6" s="19" t="s">
        <v>24</v>
      </c>
      <c r="G6" s="19" t="s">
        <v>25</v>
      </c>
      <c r="H6" s="19" t="s">
        <v>31</v>
      </c>
      <c r="I6" s="23">
        <v>45777</v>
      </c>
      <c r="J6" s="17" t="s">
        <v>39</v>
      </c>
      <c r="K6" s="17" t="s">
        <v>40</v>
      </c>
      <c r="L6" s="17" t="s">
        <v>29</v>
      </c>
      <c r="M6" s="17" t="s">
        <v>33</v>
      </c>
      <c r="N6" s="24">
        <v>4</v>
      </c>
      <c r="O6" s="24">
        <v>1</v>
      </c>
      <c r="P6" s="24">
        <v>0</v>
      </c>
      <c r="Q6" s="24">
        <f t="shared" si="0"/>
        <v>4</v>
      </c>
      <c r="R6" s="24"/>
      <c r="S6" s="24"/>
      <c r="T6" s="25"/>
    </row>
  </sheetData>
  <autoFilter xmlns:etc="http://www.wps.cn/officeDocument/2017/etCustomData" ref="A1:M5" etc:filterBottomFollowUsedRange="0">
    <extLst/>
  </autoFilter>
  <pageMargins left="0.75" right="0.75" top="1" bottom="1" header="0.51" footer="0.51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9"/>
  <sheetViews>
    <sheetView workbookViewId="0">
      <selection activeCell="D8" sqref="D8"/>
    </sheetView>
  </sheetViews>
  <sheetFormatPr defaultColWidth="9" defaultRowHeight="16.5" outlineLevelCol="1"/>
  <cols>
    <col min="1" max="1" width="9" style="1"/>
    <col min="2" max="2" width="17.5" style="1" customWidth="1"/>
    <col min="3" max="16384" width="9" style="1"/>
  </cols>
  <sheetData>
    <row r="2" ht="17.25" spans="2:2">
      <c r="B2" s="2" t="s">
        <v>0</v>
      </c>
    </row>
    <row r="3" spans="2:2">
      <c r="B3" s="3" t="s">
        <v>20</v>
      </c>
    </row>
    <row r="4" spans="2:2">
      <c r="B4" s="4" t="s">
        <v>41</v>
      </c>
    </row>
    <row r="5" spans="2:2">
      <c r="B5" s="4" t="s">
        <v>42</v>
      </c>
    </row>
    <row r="6" spans="2:2">
      <c r="B6" s="4" t="s">
        <v>43</v>
      </c>
    </row>
    <row r="7" spans="2:2">
      <c r="B7" s="4"/>
    </row>
    <row r="8" spans="2:2">
      <c r="B8" s="4"/>
    </row>
    <row r="9" ht="17.25" spans="2:2">
      <c r="B9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科创奖学金申报表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超超</cp:lastModifiedBy>
  <dcterms:created xsi:type="dcterms:W3CDTF">2018-11-27T08:50:00Z</dcterms:created>
  <dcterms:modified xsi:type="dcterms:W3CDTF">2025-06-20T16:50:53Z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3F2BE73BB9634E108695991989CB5982_12</vt:lpwstr>
  </property>
</Properties>
</file>